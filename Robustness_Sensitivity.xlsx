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Research Projects\IFRS13_crypto_2026Sum\"/>
    </mc:Choice>
  </mc:AlternateContent>
  <xr:revisionPtr revIDLastSave="0" documentId="13_ncr:1_{04F557A4-A80D-46E6-80DD-4D0D37B9AB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1" l="1"/>
  <c r="E33" i="1"/>
  <c r="E34" i="1"/>
  <c r="E35" i="1"/>
  <c r="E36" i="1"/>
  <c r="E37" i="1"/>
  <c r="E38" i="1"/>
  <c r="E39" i="1"/>
  <c r="E31" i="1"/>
  <c r="E19" i="1"/>
  <c r="E20" i="1"/>
  <c r="E21" i="1"/>
  <c r="E22" i="1"/>
  <c r="E23" i="1"/>
  <c r="E24" i="1"/>
  <c r="E25" i="1"/>
  <c r="E18" i="1"/>
  <c r="E17" i="1"/>
  <c r="E16" i="1"/>
  <c r="F5" i="1"/>
  <c r="F6" i="1"/>
  <c r="F7" i="1"/>
  <c r="F8" i="1"/>
  <c r="F4" i="1"/>
  <c r="E6" i="1"/>
  <c r="E7" i="1"/>
  <c r="E8" i="1"/>
  <c r="E5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<sst xmlns="http://schemas.openxmlformats.org/spreadsheetml/2006/main" count="30" uniqueCount="20">
  <si>
    <t>Robustness</t>
  </si>
  <si>
    <t>N</t>
  </si>
  <si>
    <t>Nj</t>
  </si>
  <si>
    <t>dx</t>
  </si>
  <si>
    <t>Result</t>
  </si>
  <si>
    <t>Percentage changed</t>
  </si>
  <si>
    <t>---</t>
  </si>
  <si>
    <t xml:space="preserve">Assumption: S = 100, K= 100, T= 1, r = 0.06, q= 0.03, sig = 0.2, european put option. Closed-form solution = 6.2728 (cor. to 4 d.p.) </t>
  </si>
  <si>
    <t>Time spent</t>
  </si>
  <si>
    <t>&lt; 1s</t>
  </si>
  <si>
    <r>
      <rPr>
        <sz val="11"/>
        <color theme="1"/>
        <rFont val="Calibri"/>
        <family val="2"/>
      </rPr>
      <t>≈ 38</t>
    </r>
    <r>
      <rPr>
        <sz val="11"/>
        <color theme="1"/>
        <rFont val="Calibri"/>
        <family val="2"/>
        <scheme val="minor"/>
      </rPr>
      <t>s</t>
    </r>
  </si>
  <si>
    <r>
      <rPr>
        <sz val="11"/>
        <color theme="1"/>
        <rFont val="Calibri"/>
        <family val="2"/>
      </rPr>
      <t>≈ 160</t>
    </r>
    <r>
      <rPr>
        <sz val="11"/>
        <color theme="1"/>
        <rFont val="Calibri"/>
        <family val="2"/>
        <scheme val="minor"/>
      </rPr>
      <t>s</t>
    </r>
  </si>
  <si>
    <t>Percentage error</t>
  </si>
  <si>
    <t>Sensitiveity</t>
  </si>
  <si>
    <t>Assumption: S = 100, K= 100, T= 1, r = 0.06, q= 0.03, european put option. Testing sensitivity of volatility rate</t>
  </si>
  <si>
    <t>sig</t>
  </si>
  <si>
    <t>K</t>
  </si>
  <si>
    <t>Assumption: S = 100, T= 1, r = 0.06, q= 0.03, sig = 0.2 european put option. Testing sensitivity of strike price</t>
  </si>
  <si>
    <t>Assumption: S = 100000, T= 1, r = 0.06, q= 0.03, sig = 0.2 european put option. Testing sensitivity of strike price</t>
  </si>
  <si>
    <r>
      <rPr>
        <sz val="11"/>
        <color theme="1"/>
        <rFont val="Calibri"/>
        <family val="2"/>
      </rPr>
      <t>≈ 3</t>
    </r>
    <r>
      <rPr>
        <sz val="11"/>
        <color theme="1"/>
        <rFont val="Calibri"/>
        <family val="2"/>
        <scheme val="minor"/>
      </rPr>
      <t>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</si>
</sst>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0"/>
    <numFmt numFmtId="166" formatCode="0.0000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0" xfId="0" quotePrefix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1" applyFont="1"/>
    <xf numFmtId="166" fontId="0" fillId="0" borderId="0" xfId="0" applyNumberFormat="1"/>
    <xf numFmtId="166" fontId="0" fillId="0" borderId="0" xfId="0" quotePrefix="1" applyNumberFormat="1" applyAlignment="1">
      <alignment vertical="center"/>
    </xf>
    <xf numFmtId="0" fontId="0" fillId="0" borderId="0" xfId="0" applyAlignment="1">
      <alignment horizontal="center"/>
    </xf>
    <xf numFmtId="166" fontId="0" fillId="0" borderId="0" xfId="0" quotePrefix="1" applyNumberFormat="1" applyAlignment="1">
      <alignment horizontal="center"/>
    </xf>
    <xf numFmtId="0" fontId="0" fillId="0" borderId="0" xfId="0" quotePrefix="1" applyAlignment="1">
      <alignment horizontal="center"/>
    </xf>
    <xf numFmtId="9" fontId="0" fillId="0" borderId="0" xfId="0" applyNumberFormat="1"/>
    <xf numFmtId="1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E42" sqref="E42"/>
    </sheetView>
  </sheetViews>
  <sheetFormatPr defaultRowHeight="14.5" x14ac:dyDescent="0.35"/>
  <cols>
    <col min="1" max="1" width="12.6328125" customWidth="1"/>
    <col min="2" max="2" width="11.453125" customWidth="1"/>
    <col min="3" max="3" width="10.54296875" customWidth="1"/>
    <col min="4" max="4" width="17.54296875" customWidth="1"/>
    <col min="5" max="6" width="17.7265625" customWidth="1"/>
    <col min="7" max="7" width="10.81640625" customWidth="1"/>
  </cols>
  <sheetData>
    <row r="1" spans="1:7" x14ac:dyDescent="0.35">
      <c r="A1" s="1" t="s">
        <v>0</v>
      </c>
    </row>
    <row r="2" spans="1:7" x14ac:dyDescent="0.35">
      <c r="A2" t="s">
        <v>7</v>
      </c>
    </row>
    <row r="3" spans="1:7" x14ac:dyDescent="0.3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12</v>
      </c>
      <c r="G3" t="s">
        <v>8</v>
      </c>
    </row>
    <row r="4" spans="1:7" x14ac:dyDescent="0.35">
      <c r="A4">
        <v>50</v>
      </c>
      <c r="B4">
        <v>50</v>
      </c>
      <c r="C4">
        <f>1/B4</f>
        <v>0.02</v>
      </c>
      <c r="D4">
        <v>6.2579440589515096</v>
      </c>
      <c r="E4" s="2" t="s">
        <v>6</v>
      </c>
      <c r="F4" s="7">
        <f>(D4-6.2728)/6.2728</f>
        <v>-2.3683109693423236E-3</v>
      </c>
      <c r="G4" s="8" t="s">
        <v>9</v>
      </c>
    </row>
    <row r="5" spans="1:7" x14ac:dyDescent="0.35">
      <c r="A5">
        <v>100</v>
      </c>
      <c r="B5">
        <v>100</v>
      </c>
      <c r="C5">
        <f>1/B5</f>
        <v>0.01</v>
      </c>
      <c r="D5" s="3">
        <v>6.2648106585829701</v>
      </c>
      <c r="E5" s="6">
        <f>(D5-D4)/D4</f>
        <v>1.0972612677223248E-3</v>
      </c>
      <c r="F5" s="7">
        <f>(D5-6.2728)/6.2728</f>
        <v>-1.2736483575165802E-3</v>
      </c>
      <c r="G5" s="8" t="s">
        <v>9</v>
      </c>
    </row>
    <row r="6" spans="1:7" x14ac:dyDescent="0.35">
      <c r="A6">
        <v>1000</v>
      </c>
      <c r="B6">
        <v>1000</v>
      </c>
      <c r="C6">
        <f>1/B6</f>
        <v>1E-3</v>
      </c>
      <c r="D6">
        <v>6.2670724383525096</v>
      </c>
      <c r="E6" s="6">
        <f>(D6-D5)/D5</f>
        <v>3.6102923021955155E-4</v>
      </c>
      <c r="F6" s="7">
        <f>(D6-6.2728)/6.2728</f>
        <v>-9.1307895158311331E-4</v>
      </c>
      <c r="G6" s="8" t="s">
        <v>19</v>
      </c>
    </row>
    <row r="7" spans="1:7" x14ac:dyDescent="0.35">
      <c r="A7">
        <v>5000</v>
      </c>
      <c r="B7">
        <v>5000</v>
      </c>
      <c r="C7">
        <f>1/B7</f>
        <v>2.0000000000000001E-4</v>
      </c>
      <c r="D7">
        <v>6.2670943610459897</v>
      </c>
      <c r="E7" s="6">
        <f>(D7-D6)/D6</f>
        <v>3.4980756478821339E-6</v>
      </c>
      <c r="F7" s="7">
        <f>(D7-6.2728)/6.2728</f>
        <v>-9.095840699544763E-4</v>
      </c>
      <c r="G7" s="8" t="s">
        <v>10</v>
      </c>
    </row>
    <row r="8" spans="1:7" x14ac:dyDescent="0.35">
      <c r="A8">
        <v>10000</v>
      </c>
      <c r="B8">
        <v>10000</v>
      </c>
      <c r="C8">
        <f>1/B8</f>
        <v>1E-4</v>
      </c>
      <c r="D8">
        <v>6.2670950467375901</v>
      </c>
      <c r="E8" s="6">
        <f>(D8-D7)/D7</f>
        <v>1.0941140517212433E-7</v>
      </c>
      <c r="F8" s="7">
        <f>(D8-6.2728)/6.2728</f>
        <v>-9.0947475806817536E-4</v>
      </c>
      <c r="G8" s="8" t="s">
        <v>11</v>
      </c>
    </row>
    <row r="11" spans="1:7" x14ac:dyDescent="0.35">
      <c r="A11" s="1" t="s">
        <v>13</v>
      </c>
    </row>
    <row r="13" spans="1:7" x14ac:dyDescent="0.35">
      <c r="A13" t="s">
        <v>14</v>
      </c>
    </row>
    <row r="14" spans="1:7" x14ac:dyDescent="0.35">
      <c r="A14" t="s">
        <v>15</v>
      </c>
      <c r="D14" t="s">
        <v>4</v>
      </c>
      <c r="E14" t="s">
        <v>5</v>
      </c>
    </row>
    <row r="15" spans="1:7" x14ac:dyDescent="0.35">
      <c r="A15">
        <v>0</v>
      </c>
      <c r="D15">
        <v>3.3228767396768603E-2</v>
      </c>
      <c r="E15" s="9" t="s">
        <v>6</v>
      </c>
    </row>
    <row r="16" spans="1:7" x14ac:dyDescent="0.35">
      <c r="A16">
        <v>0.2</v>
      </c>
      <c r="D16">
        <v>6.2668876785924299</v>
      </c>
      <c r="E16" s="6">
        <f t="shared" ref="E16:E25" si="0">(D16-D15)/D15</f>
        <v>187.59825896526831</v>
      </c>
    </row>
    <row r="17" spans="1:5" x14ac:dyDescent="0.35">
      <c r="A17">
        <v>0.4</v>
      </c>
      <c r="D17" s="3">
        <v>13.764004008308101</v>
      </c>
      <c r="E17" s="6">
        <f t="shared" si="0"/>
        <v>1.1963061593278077</v>
      </c>
    </row>
    <row r="18" spans="1:5" x14ac:dyDescent="0.35">
      <c r="A18">
        <v>0.6</v>
      </c>
      <c r="D18" s="3">
        <v>21.140360484337599</v>
      </c>
      <c r="E18" s="6">
        <f t="shared" si="0"/>
        <v>0.5359164725305986</v>
      </c>
    </row>
    <row r="19" spans="1:5" x14ac:dyDescent="0.35">
      <c r="A19">
        <v>0.8</v>
      </c>
      <c r="D19" s="3">
        <v>28.305603095824701</v>
      </c>
      <c r="E19" s="6">
        <f t="shared" si="0"/>
        <v>0.33893663340299535</v>
      </c>
    </row>
    <row r="20" spans="1:5" x14ac:dyDescent="0.35">
      <c r="A20">
        <v>1</v>
      </c>
      <c r="D20" s="3">
        <v>35.192761319032897</v>
      </c>
      <c r="E20" s="6">
        <f t="shared" si="0"/>
        <v>0.24331430776771212</v>
      </c>
    </row>
    <row r="21" spans="1:5" x14ac:dyDescent="0.35">
      <c r="A21">
        <v>1.2</v>
      </c>
      <c r="D21" s="3">
        <v>41.745929202351697</v>
      </c>
      <c r="E21" s="6">
        <f t="shared" si="0"/>
        <v>0.18620783472806737</v>
      </c>
    </row>
    <row r="22" spans="1:5" x14ac:dyDescent="0.35">
      <c r="A22">
        <v>1.4</v>
      </c>
      <c r="D22" s="3">
        <v>47.9199952633588</v>
      </c>
      <c r="E22" s="6">
        <f t="shared" si="0"/>
        <v>0.14789624231574885</v>
      </c>
    </row>
    <row r="23" spans="1:5" x14ac:dyDescent="0.35">
      <c r="A23">
        <v>1.6</v>
      </c>
      <c r="D23" s="3">
        <v>53.683862795490001</v>
      </c>
      <c r="E23" s="6">
        <f t="shared" si="0"/>
        <v>0.12028105387853498</v>
      </c>
    </row>
    <row r="24" spans="1:5" x14ac:dyDescent="0.35">
      <c r="A24">
        <v>1.8</v>
      </c>
      <c r="D24" s="3">
        <v>59.0285782363894</v>
      </c>
      <c r="E24" s="6">
        <f t="shared" si="0"/>
        <v>9.9559069757335181E-2</v>
      </c>
    </row>
    <row r="25" spans="1:5" x14ac:dyDescent="0.35">
      <c r="A25">
        <v>2</v>
      </c>
      <c r="D25" s="3">
        <v>63.974299486227899</v>
      </c>
      <c r="E25" s="6">
        <f t="shared" si="0"/>
        <v>8.3785200280998909E-2</v>
      </c>
    </row>
    <row r="26" spans="1:5" x14ac:dyDescent="0.35">
      <c r="D26" s="3"/>
      <c r="E26" s="6"/>
    </row>
    <row r="27" spans="1:5" x14ac:dyDescent="0.35">
      <c r="A27" t="s">
        <v>17</v>
      </c>
    </row>
    <row r="28" spans="1:5" x14ac:dyDescent="0.35">
      <c r="A28" t="s">
        <v>16</v>
      </c>
      <c r="D28" t="s">
        <v>4</v>
      </c>
      <c r="E28" t="s">
        <v>5</v>
      </c>
    </row>
    <row r="29" spans="1:5" x14ac:dyDescent="0.35">
      <c r="A29">
        <v>0</v>
      </c>
      <c r="D29" s="12">
        <v>4.0807623261859999E-52</v>
      </c>
      <c r="E29" s="9" t="s">
        <v>6</v>
      </c>
    </row>
    <row r="30" spans="1:5" x14ac:dyDescent="0.35">
      <c r="A30">
        <v>50</v>
      </c>
      <c r="D30">
        <v>4.9434470605445695E-4</v>
      </c>
      <c r="E30" s="10" t="s">
        <v>6</v>
      </c>
    </row>
    <row r="31" spans="1:5" x14ac:dyDescent="0.35">
      <c r="A31">
        <v>100</v>
      </c>
      <c r="D31">
        <v>6.2668876785924299</v>
      </c>
      <c r="E31" s="11">
        <f>(D31-D30)/D30</f>
        <v>12676.161506614921</v>
      </c>
    </row>
    <row r="32" spans="1:5" x14ac:dyDescent="0.35">
      <c r="A32">
        <v>150</v>
      </c>
      <c r="D32" s="3">
        <v>44.493624164572601</v>
      </c>
      <c r="E32" s="5">
        <f t="shared" ref="E32:E39" si="1">(D32-D31)/D31</f>
        <v>6.0997960146249275</v>
      </c>
    </row>
    <row r="33" spans="1:5" x14ac:dyDescent="0.35">
      <c r="A33">
        <v>200</v>
      </c>
      <c r="D33" s="3">
        <v>91.311581913045103</v>
      </c>
      <c r="E33" s="5">
        <f t="shared" si="1"/>
        <v>1.0522397001265322</v>
      </c>
    </row>
    <row r="34" spans="1:5" x14ac:dyDescent="0.35">
      <c r="A34">
        <v>250</v>
      </c>
      <c r="D34" s="3">
        <v>138.396606418978</v>
      </c>
      <c r="E34" s="5">
        <f t="shared" si="1"/>
        <v>0.5156522701662466</v>
      </c>
    </row>
    <row r="35" spans="1:5" x14ac:dyDescent="0.35">
      <c r="A35">
        <v>300</v>
      </c>
      <c r="D35" s="3">
        <v>185.484804071512</v>
      </c>
      <c r="E35" s="5">
        <f t="shared" si="1"/>
        <v>0.34024098473903702</v>
      </c>
    </row>
    <row r="36" spans="1:5" x14ac:dyDescent="0.35">
      <c r="A36">
        <v>350</v>
      </c>
      <c r="D36" s="3">
        <v>232.573030485202</v>
      </c>
      <c r="E36" s="5">
        <f t="shared" si="1"/>
        <v>0.25386568268706017</v>
      </c>
    </row>
    <row r="37" spans="1:5" x14ac:dyDescent="0.35">
      <c r="A37">
        <v>400</v>
      </c>
      <c r="D37" s="3">
        <v>279.66125716083502</v>
      </c>
      <c r="E37" s="5">
        <f t="shared" si="1"/>
        <v>0.20246641056100062</v>
      </c>
    </row>
    <row r="38" spans="1:5" x14ac:dyDescent="0.35">
      <c r="A38">
        <v>450</v>
      </c>
      <c r="D38" s="3">
        <v>326.74948383914301</v>
      </c>
      <c r="E38" s="5">
        <f t="shared" si="1"/>
        <v>0.16837593864933262</v>
      </c>
    </row>
    <row r="39" spans="1:5" x14ac:dyDescent="0.35">
      <c r="A39">
        <v>500</v>
      </c>
      <c r="D39" s="3">
        <v>373.83771051748403</v>
      </c>
      <c r="E39" s="5">
        <f t="shared" si="1"/>
        <v>0.1441110973614339</v>
      </c>
    </row>
    <row r="41" spans="1:5" x14ac:dyDescent="0.35">
      <c r="A41" t="s">
        <v>18</v>
      </c>
    </row>
    <row r="42" spans="1:5" x14ac:dyDescent="0.35">
      <c r="A42" t="s">
        <v>16</v>
      </c>
      <c r="D42" t="s">
        <v>4</v>
      </c>
    </row>
    <row r="43" spans="1:5" x14ac:dyDescent="0.35">
      <c r="A43">
        <v>1000</v>
      </c>
      <c r="D43" s="12">
        <v>4.0807623261859703E-49</v>
      </c>
    </row>
    <row r="44" spans="1:5" x14ac:dyDescent="0.35">
      <c r="A44">
        <v>10000</v>
      </c>
      <c r="D44" s="12">
        <v>6.0608904531174E-29</v>
      </c>
    </row>
    <row r="45" spans="1:5" x14ac:dyDescent="0.35">
      <c r="A45">
        <v>100000</v>
      </c>
      <c r="D45" s="4">
        <v>6266.8876785923403</v>
      </c>
    </row>
    <row r="46" spans="1:5" x14ac:dyDescent="0.35">
      <c r="A46">
        <v>1000000</v>
      </c>
      <c r="D46" s="4">
        <v>844719.97730089503</v>
      </c>
    </row>
    <row r="47" spans="1:5" x14ac:dyDescent="0.35">
      <c r="A47">
        <v>10000000</v>
      </c>
      <c r="D47" s="4">
        <v>9320600.7794022895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 Radii</dc:creator>
  <cp:lastModifiedBy>u3640691@connect.hku.hk</cp:lastModifiedBy>
  <dcterms:created xsi:type="dcterms:W3CDTF">2015-06-05T18:17:20Z</dcterms:created>
  <dcterms:modified xsi:type="dcterms:W3CDTF">2026-10-10T18:25:32Z</dcterms:modified>
</cp:coreProperties>
</file>